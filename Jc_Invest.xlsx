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57b385371f6c20/Documentos/"/>
    </mc:Choice>
  </mc:AlternateContent>
  <xr:revisionPtr revIDLastSave="4" documentId="8_{DE01203E-E76E-4D58-A628-B250AA395648}" xr6:coauthVersionLast="47" xr6:coauthVersionMax="47" xr10:uidLastSave="{EA644083-F5AA-4393-8492-59353E605EAA}"/>
  <bookViews>
    <workbookView minimized="1" xWindow="9975" yWindow="1950" windowWidth="14025" windowHeight="9465" tabRatio="54" xr2:uid="{2066CC6D-27F1-42EE-88F3-636CC971666B}"/>
  </bookViews>
  <sheets>
    <sheet name="Planilha1" sheetId="1" r:id="rId1"/>
    <sheet name="Planilha2" sheetId="2" r:id="rId2"/>
  </sheets>
  <definedNames>
    <definedName name="aporte">Planilha1!$D$17</definedName>
    <definedName name="patrimonio">Planilha1!$D$20</definedName>
    <definedName name="qtd_anos">Planilha1!$D$18</definedName>
    <definedName name="rendimento_carteira">Planilha1!$D$13</definedName>
    <definedName name="salario">Planilha1!$D$12</definedName>
    <definedName name="sugestao_investimento">Planilha1!$D$14</definedName>
    <definedName name="taxa_mensal">Planilha1!$D$19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1" l="1"/>
  <c r="C35" i="1"/>
  <c r="C36" i="1"/>
  <c r="C37" i="1"/>
  <c r="C38" i="1"/>
  <c r="C39" i="1"/>
  <c r="C34" i="1"/>
  <c r="I6" i="2"/>
  <c r="A16" i="2"/>
  <c r="A17" i="2"/>
  <c r="A18" i="2"/>
  <c r="A19" i="2"/>
  <c r="A20" i="2"/>
  <c r="A15" i="2"/>
  <c r="A10" i="2"/>
  <c r="A11" i="2"/>
  <c r="A12" i="2"/>
  <c r="A13" i="2"/>
  <c r="A14" i="2"/>
  <c r="A9" i="2"/>
  <c r="A4" i="2"/>
  <c r="A5" i="2"/>
  <c r="A6" i="2"/>
  <c r="A7" i="2"/>
  <c r="A8" i="2"/>
  <c r="A3" i="2"/>
  <c r="C31" i="1"/>
  <c r="C25" i="1"/>
  <c r="C26" i="1"/>
  <c r="C27" i="1"/>
  <c r="C28" i="1"/>
  <c r="C24" i="1"/>
  <c r="D20" i="1"/>
  <c r="D21" i="1" s="1"/>
  <c r="D25" i="1"/>
  <c r="D26" i="1"/>
  <c r="D27" i="1"/>
  <c r="D28" i="1"/>
  <c r="D24" i="1"/>
  <c r="D35" i="1" l="1"/>
  <c r="D36" i="1"/>
  <c r="D37" i="1"/>
  <c r="D38" i="1"/>
  <c r="D39" i="1"/>
  <c r="D34" i="1"/>
  <c r="D40" i="1" s="1"/>
</calcChain>
</file>

<file path=xl/sharedStrings.xml><?xml version="1.0" encoding="utf-8"?>
<sst xmlns="http://schemas.openxmlformats.org/spreadsheetml/2006/main" count="70" uniqueCount="34">
  <si>
    <t>Investimento Mensal</t>
  </si>
  <si>
    <t>Dividendos Mensais?</t>
  </si>
  <si>
    <t>Patrimonio Acumulado?</t>
  </si>
  <si>
    <t>Por Quantos Anos?</t>
  </si>
  <si>
    <t>Taxa de Rendimento Mensal?</t>
  </si>
  <si>
    <t>Quanto Investir por Mês?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</si>
  <si>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</si>
  <si>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</si>
  <si>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</si>
  <si>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</si>
  <si>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</si>
  <si>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</si>
  <si>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</si>
  <si>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</si>
  <si>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Salário</t>
  </si>
  <si>
    <t>Rendimento Carteira</t>
  </si>
  <si>
    <t>Agressivo</t>
  </si>
  <si>
    <t>Moderado</t>
  </si>
  <si>
    <t>Conservador</t>
  </si>
  <si>
    <t>PERFIL</t>
  </si>
  <si>
    <t>VALOR A SER INVESTIDO POR MÊS</t>
  </si>
  <si>
    <t>TIPO DE FII</t>
  </si>
  <si>
    <t>PERCENTUAL SUGERIDO</t>
  </si>
  <si>
    <t>VALORES</t>
  </si>
  <si>
    <t>PAPEL</t>
  </si>
  <si>
    <t>TIJOLO</t>
  </si>
  <si>
    <t>HÍBRIDO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</si>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</sst>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20"/>
      <color theme="0"/>
      <name val="Segoe UI"/>
      <family val="2"/>
    </font>
    <font>
      <b/>
      <sz val="12"/>
      <color theme="0"/>
      <name val="Segoe UI"/>
      <family val="2"/>
    </font>
    <font>
      <b/>
      <sz val="11"/>
      <color rgb="FF9C57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1">
    <xf numFmtId="0" fontId="0" fillId="0" borderId="0" xfId="0"/>
    <xf numFmtId="0" fontId="4" fillId="0" borderId="0" xfId="0" applyFont="1"/>
    <xf numFmtId="164" fontId="3" fillId="0" borderId="8" xfId="1" applyNumberFormat="1" applyFont="1" applyBorder="1" applyAlignment="1">
      <alignment horizontal="center"/>
    </xf>
    <xf numFmtId="8" fontId="3" fillId="4" borderId="10" xfId="0" applyNumberFormat="1" applyFont="1" applyFill="1" applyBorder="1" applyAlignment="1">
      <alignment horizontal="center"/>
    </xf>
    <xf numFmtId="8" fontId="3" fillId="4" borderId="1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8" fontId="0" fillId="4" borderId="13" xfId="0" applyNumberFormat="1" applyFill="1" applyBorder="1" applyAlignment="1">
      <alignment horizontal="center"/>
    </xf>
    <xf numFmtId="8" fontId="0" fillId="4" borderId="8" xfId="0" applyNumberFormat="1" applyFill="1" applyBorder="1" applyAlignment="1">
      <alignment horizontal="center"/>
    </xf>
    <xf numFmtId="8" fontId="0" fillId="4" borderId="17" xfId="0" applyNumberFormat="1" applyFill="1" applyBorder="1" applyAlignment="1">
      <alignment horizontal="center"/>
    </xf>
    <xf numFmtId="8" fontId="0" fillId="4" borderId="18" xfId="0" applyNumberForma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5" fillId="4" borderId="7" xfId="0" applyFont="1" applyFill="1" applyBorder="1" applyAlignment="1">
      <alignment horizontal="left" indent="5"/>
    </xf>
    <xf numFmtId="0" fontId="5" fillId="4" borderId="9" xfId="0" applyFont="1" applyFill="1" applyBorder="1" applyAlignment="1">
      <alignment horizontal="left" indent="5"/>
    </xf>
    <xf numFmtId="0" fontId="5" fillId="4" borderId="11" xfId="0" applyFont="1" applyFill="1" applyBorder="1" applyAlignment="1">
      <alignment horizontal="left" indent="5"/>
    </xf>
    <xf numFmtId="0" fontId="8" fillId="3" borderId="2" xfId="0" applyFont="1" applyFill="1" applyBorder="1" applyAlignment="1">
      <alignment horizontal="center" vertical="center"/>
    </xf>
    <xf numFmtId="164" fontId="0" fillId="5" borderId="12" xfId="0" applyNumberForma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10" fontId="3" fillId="0" borderId="10" xfId="2" applyNumberFormat="1" applyFont="1" applyFill="1" applyBorder="1" applyAlignment="1">
      <alignment horizontal="center" vertical="center"/>
    </xf>
    <xf numFmtId="0" fontId="2" fillId="2" borderId="0" xfId="3"/>
    <xf numFmtId="0" fontId="0" fillId="7" borderId="0" xfId="0" applyFill="1"/>
    <xf numFmtId="0" fontId="0" fillId="4" borderId="0" xfId="0" applyFill="1"/>
    <xf numFmtId="0" fontId="3" fillId="4" borderId="0" xfId="0" applyFont="1" applyFill="1"/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0" fillId="7" borderId="0" xfId="0" applyNumberFormat="1" applyFill="1"/>
    <xf numFmtId="0" fontId="9" fillId="2" borderId="0" xfId="3" applyFont="1"/>
    <xf numFmtId="164" fontId="3" fillId="4" borderId="0" xfId="0" applyNumberFormat="1" applyFont="1" applyFill="1"/>
    <xf numFmtId="9" fontId="0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2" xfId="0" applyBorder="1"/>
    <xf numFmtId="0" fontId="0" fillId="0" borderId="22" xfId="0" applyBorder="1" applyAlignment="1">
      <alignment horizontal="center"/>
    </xf>
    <xf numFmtId="9" fontId="0" fillId="0" borderId="22" xfId="2" applyFont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9" fontId="0" fillId="0" borderId="22" xfId="2" applyFont="1" applyFill="1" applyBorder="1" applyAlignment="1">
      <alignment horizontal="center"/>
    </xf>
    <xf numFmtId="9" fontId="2" fillId="2" borderId="0" xfId="2" applyFont="1" applyFill="1"/>
    <xf numFmtId="9" fontId="0" fillId="0" borderId="0" xfId="0" applyNumberFormat="1" applyAlignment="1">
      <alignment horizontal="center"/>
    </xf>
    <xf numFmtId="0" fontId="0" fillId="0" borderId="6" xfId="0" applyBorder="1" applyAlignment="1">
      <alignment horizontal="center"/>
    </xf>
    <xf numFmtId="9" fontId="0" fillId="0" borderId="21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20" xfId="0" applyNumberFormat="1" applyBorder="1" applyAlignment="1">
      <alignment horizontal="center"/>
    </xf>
    <xf numFmtId="164" fontId="0" fillId="4" borderId="5" xfId="0" applyNumberFormat="1" applyFill="1" applyBorder="1"/>
    <xf numFmtId="164" fontId="0" fillId="4" borderId="19" xfId="0" applyNumberFormat="1" applyFill="1" applyBorder="1"/>
    <xf numFmtId="164" fontId="0" fillId="4" borderId="3" xfId="0" applyNumberFormat="1" applyFill="1" applyBorder="1"/>
    <xf numFmtId="0" fontId="6" fillId="4" borderId="11" xfId="0" applyFont="1" applyFill="1" applyBorder="1" applyAlignment="1">
      <alignment horizontal="left" indent="5"/>
    </xf>
    <xf numFmtId="0" fontId="6" fillId="4" borderId="16" xfId="0" applyFont="1" applyFill="1" applyBorder="1" applyAlignment="1">
      <alignment horizontal="left" indent="5"/>
    </xf>
    <xf numFmtId="0" fontId="7" fillId="6" borderId="1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left" indent="5"/>
    </xf>
    <xf numFmtId="0" fontId="5" fillId="5" borderId="13" xfId="0" applyFont="1" applyFill="1" applyBorder="1" applyAlignment="1">
      <alignment horizontal="left" indent="5"/>
    </xf>
    <xf numFmtId="0" fontId="5" fillId="5" borderId="9" xfId="0" applyFont="1" applyFill="1" applyBorder="1" applyAlignment="1">
      <alignment horizontal="left" indent="5"/>
    </xf>
    <xf numFmtId="0" fontId="5" fillId="5" borderId="14" xfId="0" applyFont="1" applyFill="1" applyBorder="1" applyAlignment="1">
      <alignment horizontal="left" indent="5"/>
    </xf>
    <xf numFmtId="0" fontId="5" fillId="5" borderId="11" xfId="0" applyFont="1" applyFill="1" applyBorder="1" applyAlignment="1">
      <alignment horizontal="left" indent="5"/>
    </xf>
    <xf numFmtId="0" fontId="5" fillId="5" borderId="16" xfId="0" applyFont="1" applyFill="1" applyBorder="1" applyAlignment="1">
      <alignment horizontal="left" indent="5"/>
    </xf>
    <xf numFmtId="0" fontId="6" fillId="4" borderId="9" xfId="0" applyFont="1" applyFill="1" applyBorder="1" applyAlignment="1">
      <alignment horizontal="left" indent="5"/>
    </xf>
    <xf numFmtId="0" fontId="6" fillId="4" borderId="14" xfId="0" applyFont="1" applyFill="1" applyBorder="1" applyAlignment="1">
      <alignment horizontal="left" indent="5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CD214"/>
      <color rgb="FF003D42"/>
      <color rgb="FF003A3E"/>
      <color rgb="FF00464C"/>
      <color rgb="FF034341"/>
      <color rgb="FF023534"/>
      <color rgb="FF034949"/>
      <color rgb="FF054257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Planilha1!$C$33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A0-4B90-9D7E-03A485712A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A0-4B90-9D7E-03A485712A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A0-4B90-9D7E-03A485712A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FA0-4B90-9D7E-03A485712A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FA0-4B90-9D7E-03A485712A4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FA0-4B90-9D7E-03A485712A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1" u="none" strike="noStrike" kern="1200" cap="none" spc="0" baseline="0">
                    <a:ln w="0"/>
                    <a:solidFill>
                      <a:schemeClr val="bg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Planilha1!$C$34:$C$39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0-43B5-80C4-8713661D9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371473</xdr:colOff>
      <xdr:row>1</xdr:row>
      <xdr:rowOff>28576</xdr:rowOff>
    </xdr:from>
    <xdr:to>
      <xdr:col>4</xdr:col>
      <xdr:colOff>38100</xdr:colOff>
      <xdr:row>9</xdr:row>
      <xdr:rowOff>28576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B172769-4AAD-4F49-8E34-0079CBDE97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477"/>
        <a:stretch>
          <a:fillRect/>
        </a:stretch>
      </xdr:blipFill>
      <xdr:spPr>
        <a:xfrm>
          <a:off x="371473" y="219076"/>
          <a:ext cx="5800727" cy="1524000"/>
        </a:xfrm>
        <a:prstGeom prst="rect">
          <a:avLst/>
        </a:prstGeom>
      </xdr:spPr>
    </xdr:pic>
    <xdr:clientData/>
  </xdr:twoCellAnchor>
  <xdr:twoCellAnchor>
    <xdr:from>
      <xdr:col>1</xdr:col>
      <xdr:colOff>4761</xdr:colOff>
      <xdr:row>41</xdr:row>
      <xdr:rowOff>157161</xdr:rowOff>
    </xdr:from>
    <xdr:to>
      <xdr:col>4</xdr:col>
      <xdr:colOff>85725</xdr:colOff>
      <xdr:row>59</xdr:row>
      <xdr:rowOff>161925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7B535FB-0160-C083-30AD-CEC34203B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1495425</xdr:colOff>
      <xdr:row>2</xdr:row>
      <xdr:rowOff>66676</xdr:rowOff>
    </xdr:from>
    <xdr:to>
      <xdr:col>3</xdr:col>
      <xdr:colOff>114300</xdr:colOff>
      <xdr:row>7</xdr:row>
      <xdr:rowOff>133350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EB9E7AB-F33B-2985-9683-8C013F259B2F}"/>
            </a:ext>
          </a:extLst>
        </xdr:cNvPr>
        <xdr:cNvSpPr/>
      </xdr:nvSpPr>
      <xdr:spPr>
        <a:xfrm>
          <a:off x="1990725" y="447676"/>
          <a:ext cx="3333750" cy="1019174"/>
        </a:xfrm>
        <a:prstGeom prst="rect">
          <a:avLst/>
        </a:prstGeom>
        <a:solidFill>
          <a:srgbClr val="003D42"/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800" b="1" i="0">
              <a:ln>
                <a:noFill/>
              </a:ln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JC</a:t>
          </a:r>
          <a:r>
            <a:rPr lang="pt-BR" sz="4800" b="1" i="0">
              <a:ln>
                <a:noFill/>
              </a:ln>
            </a:rPr>
            <a:t> </a:t>
          </a:r>
          <a:r>
            <a:rPr lang="pt-BR" sz="4800" b="1" i="0">
              <a:ln>
                <a:noFill/>
              </a:ln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INVEST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9B6A9-0089-4193-AD24-9DE7563038D5}">
  <dimension ref="A10:H66"/>
  <sheetViews>
    <sheetView showGridLines="0" tabSelected="1" topLeftCell="A4" workbookViewId="0">
      <selection activeCell="C30" sqref="C3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x14ac:dyDescent="0.25"/>
  <cols>
    <col min="1" max="1" width="7.42578125" customWidth="1"/>
    <col min="2" max="2" width="43.85546875" customWidth="1"/>
    <col min="3" max="3" width="26.85546875" customWidth="1"/>
    <col min="4" max="4" width="13.85546875" bestFit="1" customWidth="1"/>
    <col min="5" max="5" width="4.28515625" customWidth="1"/>
    <col min="6" max="6" width="2.85546875" customWidth="1"/>
    <col min="7" max="7" width="3.42578125" customWidth="1"/>
    <col min="8" max="8" width="4.7109375" customWidth="1"/>
    <col min="9" max="11" width="9.140625" hidden="1" customWidth="1"/>
    <col min="12" max="16384" width="9.140625" hidden="1"/>
  </cols>
  <sheetData>
    <row r="10" spans="2:4" ht="15.75" thickBot="1" x14ac:dyDescent="0.3"/>
    <row r="11" spans="2:4" ht="30.75" x14ac:dyDescent="0.25">
      <c r="B11" s="47" t="s">
        <v>13</v>
      </c>
      <c r="C11" s="48"/>
      <c r="D11" s="49"/>
    </row>
    <row r="12" spans="2:4" ht="15.75" x14ac:dyDescent="0.25">
      <c r="B12" s="53" t="s">
        <v>14</v>
      </c>
      <c r="C12" s="54"/>
      <c r="D12" s="10">
        <v>3000</v>
      </c>
    </row>
    <row r="13" spans="2:4" ht="15.75" x14ac:dyDescent="0.25">
      <c r="B13" s="55" t="s">
        <v>15</v>
      </c>
      <c r="C13" s="56"/>
      <c r="D13" s="11">
        <v>6.0000000000000001E-3</v>
      </c>
    </row>
    <row r="14" spans="2:4" ht="16.5" thickBot="1" x14ac:dyDescent="0.3">
      <c r="B14" s="57" t="s">
        <v>33</v>
      </c>
      <c r="C14" s="58"/>
      <c r="D14" s="16">
        <f>salario*30%</f>
        <v>900</v>
      </c>
    </row>
    <row r="15" spans="2:4" ht="15.75" thickBot="1" x14ac:dyDescent="0.3"/>
    <row r="16" spans="2:4" ht="28.5" customHeight="1" x14ac:dyDescent="0.25">
      <c r="B16" s="50" t="s">
        <v>0</v>
      </c>
      <c r="C16" s="51"/>
      <c r="D16" s="52"/>
    </row>
    <row r="17" spans="1:4" ht="15.75" x14ac:dyDescent="0.25">
      <c r="B17" s="53" t="s">
        <v>5</v>
      </c>
      <c r="C17" s="54"/>
      <c r="D17" s="2">
        <v>1000</v>
      </c>
    </row>
    <row r="18" spans="1:4" ht="15.75" x14ac:dyDescent="0.25">
      <c r="B18" s="55" t="s">
        <v>3</v>
      </c>
      <c r="C18" s="56"/>
      <c r="D18" s="17">
        <v>6</v>
      </c>
    </row>
    <row r="19" spans="1:4" ht="15.75" x14ac:dyDescent="0.25">
      <c r="B19" s="55" t="s">
        <v>4</v>
      </c>
      <c r="C19" s="56"/>
      <c r="D19" s="18">
        <v>1.0789999999999999E-2</v>
      </c>
    </row>
    <row r="20" spans="1:4" ht="15.75" x14ac:dyDescent="0.25">
      <c r="B20" s="59" t="s">
        <v>2</v>
      </c>
      <c r="C20" s="60"/>
      <c r="D20" s="3">
        <f>FV(taxa_mensal,qtd_anos*12,aporte*-1)</f>
        <v>108030.20099159992</v>
      </c>
    </row>
    <row r="21" spans="1:4" ht="16.5" thickBot="1" x14ac:dyDescent="0.3">
      <c r="B21" s="45" t="s">
        <v>1</v>
      </c>
      <c r="C21" s="46"/>
      <c r="D21" s="4">
        <f>patrimonio*rendimento_carteira</f>
        <v>648.18120594959953</v>
      </c>
    </row>
    <row r="22" spans="1:4" ht="15.75" thickBot="1" x14ac:dyDescent="0.3"/>
    <row r="23" spans="1:4" ht="30.75" x14ac:dyDescent="0.25">
      <c r="B23" s="50" t="s">
        <v>11</v>
      </c>
      <c r="C23" s="51"/>
      <c r="D23" s="15" t="s">
        <v>12</v>
      </c>
    </row>
    <row r="24" spans="1:4" ht="15.75" x14ac:dyDescent="0.25">
      <c r="A24" s="1">
        <v>2</v>
      </c>
      <c r="B24" s="12" t="s">
        <v>6</v>
      </c>
      <c r="C24" s="6">
        <f>FV(taxa_mensal,$A24*12,aporte*-1)</f>
        <v>27227.627297645216</v>
      </c>
      <c r="D24" s="7">
        <f>C24*rendimento_carteira</f>
        <v>163.36576378587131</v>
      </c>
    </row>
    <row r="25" spans="1:4" ht="15.75" x14ac:dyDescent="0.25">
      <c r="A25" s="1">
        <v>5</v>
      </c>
      <c r="B25" s="13" t="s">
        <v>7</v>
      </c>
      <c r="C25" s="6">
        <f>FV(taxa_mensal,$A25*12,aporte*-1)</f>
        <v>83776.913998487638</v>
      </c>
      <c r="D25" s="7">
        <f>C25*rendimento_carteira</f>
        <v>502.66148399092583</v>
      </c>
    </row>
    <row r="26" spans="1:4" ht="15.75" x14ac:dyDescent="0.25">
      <c r="A26" s="1">
        <v>10</v>
      </c>
      <c r="B26" s="13" t="s">
        <v>8</v>
      </c>
      <c r="C26" s="6">
        <f>FV(taxa_mensal,$A26*12,aporte*-1)</f>
        <v>243284.2125301722</v>
      </c>
      <c r="D26" s="7">
        <f>C26*rendimento_carteira</f>
        <v>1459.7052751810331</v>
      </c>
    </row>
    <row r="27" spans="1:4" ht="15.75" x14ac:dyDescent="0.25">
      <c r="A27" s="1">
        <v>20</v>
      </c>
      <c r="B27" s="13" t="s">
        <v>9</v>
      </c>
      <c r="C27" s="6">
        <f>FV(taxa_mensal,$A27*12,aporte*-1)</f>
        <v>1125198.4000970805</v>
      </c>
      <c r="D27" s="7">
        <f>C27*rendimento_carteira</f>
        <v>6751.1904005824836</v>
      </c>
    </row>
    <row r="28" spans="1:4" ht="16.5" thickBot="1" x14ac:dyDescent="0.3">
      <c r="A28" s="1">
        <v>30</v>
      </c>
      <c r="B28" s="14" t="s">
        <v>10</v>
      </c>
      <c r="C28" s="8">
        <f>FV(taxa_mensal,$A28*12,aporte*-1)</f>
        <v>4322169.6550047146</v>
      </c>
      <c r="D28" s="9">
        <f>C28*rendimento_carteira</f>
        <v>25933.017930028287</v>
      </c>
    </row>
    <row r="30" spans="1:4" x14ac:dyDescent="0.25">
      <c r="B30" s="26" t="s">
        <v>19</v>
      </c>
      <c r="C30" s="26" t="s">
        <v>16</v>
      </c>
      <c r="D30" s="19"/>
    </row>
    <row r="31" spans="1:4" x14ac:dyDescent="0.25">
      <c r="B31" s="22" t="s">
        <v>20</v>
      </c>
      <c r="C31" s="27">
        <f>aporte</f>
        <v>1000</v>
      </c>
      <c r="D31" s="21"/>
    </row>
    <row r="33" spans="2:4" x14ac:dyDescent="0.25">
      <c r="B33" s="23" t="s">
        <v>21</v>
      </c>
      <c r="C33" s="24" t="s">
        <v>22</v>
      </c>
      <c r="D33" s="24" t="s">
        <v>23</v>
      </c>
    </row>
    <row r="34" spans="2:4" x14ac:dyDescent="0.25">
      <c r="B34" s="37" t="s">
        <v>24</v>
      </c>
      <c r="C34" s="38">
        <f>VLOOKUP($C$30&amp;"-"&amp;B34,Planilha2!$A$2:$D$20,4,FALSE)</f>
        <v>0.5</v>
      </c>
      <c r="D34" s="42">
        <f t="shared" ref="D34:D39" si="0">C34*$C$31</f>
        <v>500</v>
      </c>
    </row>
    <row r="35" spans="2:4" x14ac:dyDescent="0.25">
      <c r="B35" s="39" t="s">
        <v>25</v>
      </c>
      <c r="C35" s="36">
        <f>VLOOKUP($C$30&amp;"-"&amp;B35,Planilha2!$A$2:$D$20,4,FALSE)</f>
        <v>0.1</v>
      </c>
      <c r="D35" s="43">
        <f t="shared" si="0"/>
        <v>100</v>
      </c>
    </row>
    <row r="36" spans="2:4" x14ac:dyDescent="0.25">
      <c r="B36" s="39" t="s">
        <v>26</v>
      </c>
      <c r="C36" s="36">
        <f>VLOOKUP($C$30&amp;"-"&amp;B36,Planilha2!$A$2:$D$20,4,FALSE)</f>
        <v>0.05</v>
      </c>
      <c r="D36" s="43">
        <f t="shared" si="0"/>
        <v>50</v>
      </c>
    </row>
    <row r="37" spans="2:4" x14ac:dyDescent="0.25">
      <c r="B37" s="39" t="s">
        <v>27</v>
      </c>
      <c r="C37" s="36">
        <f>VLOOKUP($C$30&amp;"-"&amp;B37,Planilha2!$A$2:$D$20,4,FALSE)</f>
        <v>0.05</v>
      </c>
      <c r="D37" s="43">
        <f t="shared" si="0"/>
        <v>50</v>
      </c>
    </row>
    <row r="38" spans="2:4" x14ac:dyDescent="0.25">
      <c r="B38" s="39" t="s">
        <v>28</v>
      </c>
      <c r="C38" s="36">
        <f>VLOOKUP($C$30&amp;"-"&amp;B38,Planilha2!$A$2:$D$20,4,FALSE)</f>
        <v>0.2</v>
      </c>
      <c r="D38" s="43">
        <f t="shared" si="0"/>
        <v>200</v>
      </c>
    </row>
    <row r="39" spans="2:4" x14ac:dyDescent="0.25">
      <c r="B39" s="40" t="s">
        <v>29</v>
      </c>
      <c r="C39" s="41">
        <f>VLOOKUP($C$30&amp;"-"&amp;B39,Planilha2!$A$2:$D$20,4,FALSE)</f>
        <v>0.1</v>
      </c>
      <c r="D39" s="44">
        <f t="shared" si="0"/>
        <v>100</v>
      </c>
    </row>
    <row r="40" spans="2:4" x14ac:dyDescent="0.25">
      <c r="B40" s="20"/>
      <c r="C40" s="20"/>
      <c r="D40" s="25">
        <f>SUM(D34:D39)</f>
        <v>1000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</sheetData>
  <mergeCells count="11">
    <mergeCell ref="B21:C21"/>
    <mergeCell ref="B11:D11"/>
    <mergeCell ref="B16:D16"/>
    <mergeCell ref="B23:C23"/>
    <mergeCell ref="B12:C12"/>
    <mergeCell ref="B13:C13"/>
    <mergeCell ref="B14:C14"/>
    <mergeCell ref="B17:C17"/>
    <mergeCell ref="B18:C18"/>
    <mergeCell ref="B19:C19"/>
    <mergeCell ref="B20:C20"/>
  </mergeCells>
  <dataValidations count="1">
    <dataValidation type="list" allowBlank="1" showInputMessage="1" showErrorMessage="1" sqref="C30" xr:uid="{3D3F9C29-4EE5-471F-B0CA-905E06D78E86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008A-E670-47BF-AE5D-59A7823BA1E3}">
  <dimension ref="A2:I20"/>
  <sheetViews>
    <sheetView workbookViewId="0">
      <selection activeCell="E14" sqref="E14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8" max="8" width="16.85546875" bestFit="1" customWidth="1"/>
  </cols>
  <sheetData>
    <row r="2" spans="1:9" x14ac:dyDescent="0.25">
      <c r="A2" s="29" t="s">
        <v>31</v>
      </c>
      <c r="B2" s="29" t="s">
        <v>19</v>
      </c>
      <c r="C2" s="29" t="s">
        <v>21</v>
      </c>
      <c r="D2" s="29" t="s">
        <v>30</v>
      </c>
    </row>
    <row r="3" spans="1:9" x14ac:dyDescent="0.25">
      <c r="A3" t="str">
        <f>$B$3&amp;"-"&amp;C3</f>
        <v>Conservador-PAPEL</v>
      </c>
      <c r="B3" t="s">
        <v>18</v>
      </c>
      <c r="C3" s="5" t="s">
        <v>24</v>
      </c>
      <c r="D3" s="28">
        <v>0.3</v>
      </c>
    </row>
    <row r="4" spans="1:9" x14ac:dyDescent="0.25">
      <c r="A4" t="str">
        <f t="shared" ref="A4:A8" si="0">$B$3&amp;"-"&amp;C4</f>
        <v>Conservador-TIJOLO</v>
      </c>
      <c r="B4" t="s">
        <v>18</v>
      </c>
      <c r="C4" s="5" t="s">
        <v>25</v>
      </c>
      <c r="D4" s="28">
        <v>0.5</v>
      </c>
    </row>
    <row r="5" spans="1:9" x14ac:dyDescent="0.25">
      <c r="A5" t="str">
        <f t="shared" si="0"/>
        <v>Conservador-HÍBRIDO</v>
      </c>
      <c r="B5" t="s">
        <v>18</v>
      </c>
      <c r="C5" s="5" t="s">
        <v>26</v>
      </c>
      <c r="D5" s="28">
        <v>0.1</v>
      </c>
    </row>
    <row r="6" spans="1:9" x14ac:dyDescent="0.25">
      <c r="A6" t="str">
        <f t="shared" si="0"/>
        <v>Conservador-FOFs</v>
      </c>
      <c r="B6" t="s">
        <v>18</v>
      </c>
      <c r="C6" s="5" t="s">
        <v>27</v>
      </c>
      <c r="D6" s="28">
        <v>0.1</v>
      </c>
      <c r="H6" s="19" t="s">
        <v>32</v>
      </c>
      <c r="I6" s="35">
        <f>VLOOKUP(H6,$A:$D,4,FALSE)</f>
        <v>0.35</v>
      </c>
    </row>
    <row r="7" spans="1:9" x14ac:dyDescent="0.25">
      <c r="A7" t="str">
        <f t="shared" si="0"/>
        <v>Conservador-DESENVOLVIMENTO</v>
      </c>
      <c r="B7" t="s">
        <v>18</v>
      </c>
      <c r="C7" s="5" t="s">
        <v>28</v>
      </c>
      <c r="D7" s="28">
        <v>0</v>
      </c>
    </row>
    <row r="8" spans="1:9" x14ac:dyDescent="0.25">
      <c r="A8" s="30" t="str">
        <f t="shared" si="0"/>
        <v>Conservador-HOTELARIAS</v>
      </c>
      <c r="B8" s="30" t="s">
        <v>18</v>
      </c>
      <c r="C8" s="31" t="s">
        <v>29</v>
      </c>
      <c r="D8" s="32">
        <v>0</v>
      </c>
    </row>
    <row r="9" spans="1:9" x14ac:dyDescent="0.25">
      <c r="A9" t="str">
        <f>$B$9&amp;"-"&amp;C9</f>
        <v>Moderado-PAPEL</v>
      </c>
      <c r="B9" t="s">
        <v>17</v>
      </c>
      <c r="C9" s="5" t="s">
        <v>24</v>
      </c>
      <c r="D9" s="33">
        <v>0.32</v>
      </c>
    </row>
    <row r="10" spans="1:9" x14ac:dyDescent="0.25">
      <c r="A10" t="str">
        <f t="shared" ref="A10:A14" si="1">$B$9&amp;"-"&amp;C10</f>
        <v>Moderado-TIJOLO</v>
      </c>
      <c r="B10" t="s">
        <v>17</v>
      </c>
      <c r="C10" s="5" t="s">
        <v>25</v>
      </c>
      <c r="D10" s="33">
        <v>0.35</v>
      </c>
    </row>
    <row r="11" spans="1:9" x14ac:dyDescent="0.25">
      <c r="A11" t="str">
        <f t="shared" si="1"/>
        <v>Moderado-HÍBRIDO</v>
      </c>
      <c r="B11" t="s">
        <v>17</v>
      </c>
      <c r="C11" s="5" t="s">
        <v>26</v>
      </c>
      <c r="D11" s="33">
        <v>0.08</v>
      </c>
    </row>
    <row r="12" spans="1:9" x14ac:dyDescent="0.25">
      <c r="A12" t="str">
        <f t="shared" si="1"/>
        <v>Moderado-FOFs</v>
      </c>
      <c r="B12" t="s">
        <v>17</v>
      </c>
      <c r="C12" s="5" t="s">
        <v>27</v>
      </c>
      <c r="D12" s="33">
        <v>0.05</v>
      </c>
    </row>
    <row r="13" spans="1:9" x14ac:dyDescent="0.25">
      <c r="A13" t="str">
        <f t="shared" si="1"/>
        <v>Moderado-DESENVOLVIMENTO</v>
      </c>
      <c r="B13" t="s">
        <v>17</v>
      </c>
      <c r="C13" s="5" t="s">
        <v>28</v>
      </c>
      <c r="D13" s="33">
        <v>0.1</v>
      </c>
    </row>
    <row r="14" spans="1:9" x14ac:dyDescent="0.25">
      <c r="A14" s="30" t="str">
        <f t="shared" si="1"/>
        <v>Moderado-HOTELARIAS</v>
      </c>
      <c r="B14" s="30" t="s">
        <v>17</v>
      </c>
      <c r="C14" s="31" t="s">
        <v>29</v>
      </c>
      <c r="D14" s="34">
        <v>0.1</v>
      </c>
    </row>
    <row r="15" spans="1:9" x14ac:dyDescent="0.25">
      <c r="A15" t="str">
        <f>$B$15&amp;"-"&amp;C15</f>
        <v>Agressivo-PAPEL</v>
      </c>
      <c r="B15" t="s">
        <v>16</v>
      </c>
      <c r="C15" s="5" t="s">
        <v>24</v>
      </c>
      <c r="D15" s="33">
        <v>0.5</v>
      </c>
    </row>
    <row r="16" spans="1:9" x14ac:dyDescent="0.25">
      <c r="A16" t="str">
        <f t="shared" ref="A16:A20" si="2">$B$15&amp;"-"&amp;C16</f>
        <v>Agressivo-TIJOLO</v>
      </c>
      <c r="B16" t="s">
        <v>16</v>
      </c>
      <c r="C16" s="5" t="s">
        <v>25</v>
      </c>
      <c r="D16" s="33">
        <v>0.1</v>
      </c>
    </row>
    <row r="17" spans="1:4" x14ac:dyDescent="0.25">
      <c r="A17" t="str">
        <f t="shared" si="2"/>
        <v>Agressivo-HÍBRIDO</v>
      </c>
      <c r="B17" t="s">
        <v>16</v>
      </c>
      <c r="C17" s="5" t="s">
        <v>26</v>
      </c>
      <c r="D17" s="33">
        <v>0.05</v>
      </c>
    </row>
    <row r="18" spans="1:4" x14ac:dyDescent="0.25">
      <c r="A18" t="str">
        <f t="shared" si="2"/>
        <v>Agressivo-FOFs</v>
      </c>
      <c r="B18" t="s">
        <v>16</v>
      </c>
      <c r="C18" s="5" t="s">
        <v>27</v>
      </c>
      <c r="D18" s="33">
        <v>0.05</v>
      </c>
    </row>
    <row r="19" spans="1:4" x14ac:dyDescent="0.25">
      <c r="A19" t="str">
        <f t="shared" si="2"/>
        <v>Agressivo-DESENVOLVIMENTO</v>
      </c>
      <c r="B19" t="s">
        <v>16</v>
      </c>
      <c r="C19" s="5" t="s">
        <v>28</v>
      </c>
      <c r="D19" s="33">
        <v>0.2</v>
      </c>
    </row>
    <row r="20" spans="1:4" x14ac:dyDescent="0.25">
      <c r="A20" s="30" t="str">
        <f t="shared" si="2"/>
        <v>Agressivo-HOTELARIAS</v>
      </c>
      <c r="B20" s="30" t="s">
        <v>16</v>
      </c>
      <c r="C20" s="31" t="s">
        <v>29</v>
      </c>
      <c r="D20" s="3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Genivaldo Ferreira</dc:creator>
  <cp:lastModifiedBy>Genivaldo Ferreira</cp:lastModifiedBy>
  <dcterms:created xsi:type="dcterms:W3CDTF">2026-08-19T19:15:11Z</dcterms:created>
  <dcterms:modified xsi:type="dcterms:W3CDTF">2026-08-20T19:13:59Z</dcterms:modified>
</cp:coreProperties>
</file>